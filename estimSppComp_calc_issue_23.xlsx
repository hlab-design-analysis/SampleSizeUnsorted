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ORK\Design&amp;Analysis\SampleSizeUnsorted\"/>
    </mc:Choice>
  </mc:AlternateContent>
  <xr:revisionPtr revIDLastSave="0" documentId="13_ncr:1_{0C40FB2C-D211-4DAA-A810-FC0BD25DB57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structions" sheetId="7" r:id="rId1"/>
    <sheet name="Exampl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4" i="6" l="1"/>
  <c r="K45" i="6"/>
  <c r="L45" i="6"/>
  <c r="M45" i="6"/>
  <c r="J39" i="6"/>
  <c r="J40" i="6" s="1"/>
  <c r="U3" i="6"/>
  <c r="U33" i="6" s="1"/>
  <c r="V3" i="6"/>
  <c r="V33" i="6" s="1"/>
  <c r="W3" i="6"/>
  <c r="W33" i="6" s="1"/>
  <c r="X3" i="6"/>
  <c r="X33" i="6" s="1"/>
  <c r="Y3" i="6"/>
  <c r="Y33" i="6" s="1"/>
  <c r="Z3" i="6"/>
  <c r="Z33" i="6" s="1"/>
  <c r="AA3" i="6"/>
  <c r="AA33" i="6" s="1"/>
  <c r="U4" i="6"/>
  <c r="V4" i="6"/>
  <c r="W4" i="6"/>
  <c r="X4" i="6"/>
  <c r="Y4" i="6"/>
  <c r="Z4" i="6"/>
  <c r="AA4" i="6"/>
  <c r="U5" i="6"/>
  <c r="V5" i="6"/>
  <c r="W5" i="6"/>
  <c r="X5" i="6"/>
  <c r="Y5" i="6"/>
  <c r="Z5" i="6"/>
  <c r="AA5" i="6"/>
  <c r="U6" i="6"/>
  <c r="V6" i="6"/>
  <c r="W6" i="6"/>
  <c r="X6" i="6"/>
  <c r="Y6" i="6"/>
  <c r="Z6" i="6"/>
  <c r="AA6" i="6"/>
  <c r="U7" i="6"/>
  <c r="V7" i="6"/>
  <c r="W7" i="6"/>
  <c r="X7" i="6"/>
  <c r="Y7" i="6"/>
  <c r="Z7" i="6"/>
  <c r="AA7" i="6"/>
  <c r="U8" i="6"/>
  <c r="V8" i="6"/>
  <c r="W8" i="6"/>
  <c r="X8" i="6"/>
  <c r="Y8" i="6"/>
  <c r="Z8" i="6"/>
  <c r="AA8" i="6"/>
  <c r="U9" i="6"/>
  <c r="V9" i="6"/>
  <c r="W9" i="6"/>
  <c r="X9" i="6"/>
  <c r="Y9" i="6"/>
  <c r="Z9" i="6"/>
  <c r="AA9" i="6"/>
  <c r="U10" i="6"/>
  <c r="V10" i="6"/>
  <c r="W10" i="6"/>
  <c r="X10" i="6"/>
  <c r="Y10" i="6"/>
  <c r="Z10" i="6"/>
  <c r="AA10" i="6"/>
  <c r="U11" i="6"/>
  <c r="V11" i="6"/>
  <c r="W11" i="6"/>
  <c r="X11" i="6"/>
  <c r="Y11" i="6"/>
  <c r="Z11" i="6"/>
  <c r="AA11" i="6"/>
  <c r="U12" i="6"/>
  <c r="V12" i="6"/>
  <c r="W12" i="6"/>
  <c r="X12" i="6"/>
  <c r="Y12" i="6"/>
  <c r="Z12" i="6"/>
  <c r="AA12" i="6"/>
  <c r="U13" i="6"/>
  <c r="V13" i="6"/>
  <c r="W13" i="6"/>
  <c r="X13" i="6"/>
  <c r="Y13" i="6"/>
  <c r="Z13" i="6"/>
  <c r="AA13" i="6"/>
  <c r="U14" i="6"/>
  <c r="V14" i="6"/>
  <c r="W14" i="6"/>
  <c r="X14" i="6"/>
  <c r="Y14" i="6"/>
  <c r="Z14" i="6"/>
  <c r="AA14" i="6"/>
  <c r="U15" i="6"/>
  <c r="V15" i="6"/>
  <c r="W15" i="6"/>
  <c r="X15" i="6"/>
  <c r="Y15" i="6"/>
  <c r="Z15" i="6"/>
  <c r="AA15" i="6"/>
  <c r="U16" i="6"/>
  <c r="V16" i="6"/>
  <c r="W16" i="6"/>
  <c r="X16" i="6"/>
  <c r="Y16" i="6"/>
  <c r="Z16" i="6"/>
  <c r="AA16" i="6"/>
  <c r="S17" i="6"/>
  <c r="T17" i="6"/>
  <c r="U17" i="6"/>
  <c r="V17" i="6"/>
  <c r="W17" i="6"/>
  <c r="X17" i="6"/>
  <c r="Y17" i="6"/>
  <c r="Z17" i="6"/>
  <c r="AA17" i="6"/>
  <c r="S18" i="6"/>
  <c r="T18" i="6"/>
  <c r="U18" i="6"/>
  <c r="V18" i="6"/>
  <c r="W18" i="6"/>
  <c r="X18" i="6"/>
  <c r="Y18" i="6"/>
  <c r="Z18" i="6"/>
  <c r="AA18" i="6"/>
  <c r="S19" i="6"/>
  <c r="T19" i="6"/>
  <c r="U19" i="6"/>
  <c r="V19" i="6"/>
  <c r="W19" i="6"/>
  <c r="X19" i="6"/>
  <c r="Y19" i="6"/>
  <c r="Z19" i="6"/>
  <c r="AA19" i="6"/>
  <c r="S20" i="6"/>
  <c r="T20" i="6"/>
  <c r="U20" i="6"/>
  <c r="V20" i="6"/>
  <c r="W20" i="6"/>
  <c r="X20" i="6"/>
  <c r="Y20" i="6"/>
  <c r="Z20" i="6"/>
  <c r="AA20" i="6"/>
  <c r="S21" i="6"/>
  <c r="T21" i="6"/>
  <c r="U21" i="6"/>
  <c r="V21" i="6"/>
  <c r="W21" i="6"/>
  <c r="X21" i="6"/>
  <c r="Y21" i="6"/>
  <c r="Z21" i="6"/>
  <c r="AA21" i="6"/>
  <c r="S22" i="6"/>
  <c r="T22" i="6"/>
  <c r="U22" i="6"/>
  <c r="V22" i="6"/>
  <c r="W22" i="6"/>
  <c r="X22" i="6"/>
  <c r="Y22" i="6"/>
  <c r="Z22" i="6"/>
  <c r="AA22" i="6"/>
  <c r="S23" i="6"/>
  <c r="T23" i="6"/>
  <c r="U23" i="6"/>
  <c r="V23" i="6"/>
  <c r="W23" i="6"/>
  <c r="X23" i="6"/>
  <c r="Y23" i="6"/>
  <c r="Z23" i="6"/>
  <c r="AA23" i="6"/>
  <c r="S24" i="6"/>
  <c r="T24" i="6"/>
  <c r="U24" i="6"/>
  <c r="V24" i="6"/>
  <c r="W24" i="6"/>
  <c r="X24" i="6"/>
  <c r="Y24" i="6"/>
  <c r="Z24" i="6"/>
  <c r="AA24" i="6"/>
  <c r="S25" i="6"/>
  <c r="T25" i="6"/>
  <c r="U25" i="6"/>
  <c r="V25" i="6"/>
  <c r="W25" i="6"/>
  <c r="X25" i="6"/>
  <c r="Y25" i="6"/>
  <c r="Z25" i="6"/>
  <c r="AA25" i="6"/>
  <c r="S26" i="6"/>
  <c r="T26" i="6"/>
  <c r="U26" i="6"/>
  <c r="V26" i="6"/>
  <c r="W26" i="6"/>
  <c r="X26" i="6"/>
  <c r="Y26" i="6"/>
  <c r="Z26" i="6"/>
  <c r="AA26" i="6"/>
  <c r="S27" i="6"/>
  <c r="T27" i="6"/>
  <c r="U27" i="6"/>
  <c r="V27" i="6"/>
  <c r="W27" i="6"/>
  <c r="X27" i="6"/>
  <c r="Y27" i="6"/>
  <c r="Z27" i="6"/>
  <c r="AA27" i="6"/>
  <c r="S28" i="6"/>
  <c r="T28" i="6"/>
  <c r="U28" i="6"/>
  <c r="V28" i="6"/>
  <c r="W28" i="6"/>
  <c r="X28" i="6"/>
  <c r="Y28" i="6"/>
  <c r="Z28" i="6"/>
  <c r="AA28" i="6"/>
  <c r="S29" i="6"/>
  <c r="T29" i="6"/>
  <c r="U29" i="6"/>
  <c r="V29" i="6"/>
  <c r="W29" i="6"/>
  <c r="X29" i="6"/>
  <c r="Y29" i="6"/>
  <c r="Z29" i="6"/>
  <c r="AA29" i="6"/>
  <c r="S30" i="6"/>
  <c r="T30" i="6"/>
  <c r="U30" i="6"/>
  <c r="V30" i="6"/>
  <c r="W30" i="6"/>
  <c r="X30" i="6"/>
  <c r="Y30" i="6"/>
  <c r="Z30" i="6"/>
  <c r="AA30" i="6"/>
  <c r="S31" i="6"/>
  <c r="T31" i="6"/>
  <c r="U31" i="6"/>
  <c r="V31" i="6"/>
  <c r="W31" i="6"/>
  <c r="X31" i="6"/>
  <c r="Y31" i="6"/>
  <c r="Z31" i="6"/>
  <c r="AA31" i="6"/>
  <c r="S32" i="6"/>
  <c r="T32" i="6"/>
  <c r="U32" i="6"/>
  <c r="V32" i="6"/>
  <c r="W32" i="6"/>
  <c r="X32" i="6"/>
  <c r="Y32" i="6"/>
  <c r="Z32" i="6"/>
  <c r="AA32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G33" i="6"/>
  <c r="G38" i="6" s="1"/>
  <c r="G49" i="6" s="1"/>
  <c r="H33" i="6"/>
  <c r="H38" i="6" s="1"/>
  <c r="H44" i="6" s="1"/>
  <c r="I33" i="6"/>
  <c r="I38" i="6" s="1"/>
  <c r="I44" i="6" s="1"/>
  <c r="J33" i="6"/>
  <c r="J38" i="6" s="1"/>
  <c r="J44" i="6" s="1"/>
  <c r="K33" i="6"/>
  <c r="K38" i="6" s="1"/>
  <c r="K39" i="6" s="1"/>
  <c r="K40" i="6" s="1"/>
  <c r="L33" i="6"/>
  <c r="L38" i="6" s="1"/>
  <c r="L39" i="6" s="1"/>
  <c r="L40" i="6" s="1"/>
  <c r="M33" i="6"/>
  <c r="M38" i="6" s="1"/>
  <c r="M39" i="6" s="1"/>
  <c r="M40" i="6" s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3" i="6"/>
  <c r="F33" i="6"/>
  <c r="E33" i="6"/>
  <c r="D33" i="6"/>
  <c r="G39" i="6" l="1"/>
  <c r="G40" i="6" s="1"/>
  <c r="J45" i="6"/>
  <c r="I45" i="6"/>
  <c r="H45" i="6"/>
  <c r="I39" i="6"/>
  <c r="I40" i="6" s="1"/>
  <c r="H39" i="6"/>
  <c r="H40" i="6" s="1"/>
  <c r="G45" i="6"/>
  <c r="M44" i="6"/>
  <c r="L44" i="6"/>
  <c r="K44" i="6"/>
  <c r="G44" i="6"/>
  <c r="L43" i="6"/>
  <c r="C34" i="6"/>
  <c r="H49" i="6"/>
  <c r="H48" i="6"/>
  <c r="H43" i="6"/>
  <c r="J43" i="6"/>
  <c r="J49" i="6"/>
  <c r="J48" i="6"/>
  <c r="I43" i="6"/>
  <c r="I49" i="6"/>
  <c r="I48" i="6"/>
  <c r="M48" i="6"/>
  <c r="L48" i="6"/>
  <c r="G43" i="6"/>
  <c r="M43" i="6"/>
  <c r="L49" i="6"/>
  <c r="G48" i="6"/>
  <c r="K48" i="6"/>
  <c r="M49" i="6"/>
  <c r="K49" i="6"/>
  <c r="K43" i="6"/>
  <c r="C33" i="6"/>
  <c r="F37" i="6" l="1"/>
  <c r="F42" i="6" s="1"/>
  <c r="D37" i="6"/>
  <c r="E37" i="6"/>
  <c r="E42" i="6" s="1"/>
  <c r="G37" i="6"/>
  <c r="G42" i="6" s="1"/>
  <c r="H37" i="6"/>
  <c r="H42" i="6" s="1"/>
  <c r="L37" i="6"/>
  <c r="L42" i="6" s="1"/>
  <c r="I37" i="6"/>
  <c r="I42" i="6" s="1"/>
  <c r="K37" i="6"/>
  <c r="K42" i="6" s="1"/>
  <c r="J37" i="6"/>
  <c r="J42" i="6" s="1"/>
  <c r="M37" i="6"/>
  <c r="M42" i="6" s="1"/>
  <c r="D42" i="6" l="1"/>
  <c r="C42" i="6" s="1"/>
  <c r="C37" i="6"/>
  <c r="R6" i="6"/>
  <c r="R39" i="6" s="1"/>
  <c r="R8" i="6"/>
  <c r="R41" i="6" s="1"/>
  <c r="R11" i="6"/>
  <c r="R44" i="6" s="1"/>
  <c r="R7" i="6"/>
  <c r="R40" i="6" s="1"/>
  <c r="R3" i="6"/>
  <c r="R36" i="6" s="1"/>
  <c r="R10" i="6"/>
  <c r="R43" i="6" s="1"/>
  <c r="R4" i="6"/>
  <c r="R37" i="6" s="1"/>
  <c r="R9" i="6"/>
  <c r="R42" i="6" s="1"/>
  <c r="R13" i="6"/>
  <c r="R46" i="6" s="1"/>
  <c r="R5" i="6"/>
  <c r="R38" i="6" s="1"/>
  <c r="R12" i="6"/>
  <c r="R45" i="6" s="1"/>
  <c r="R14" i="6"/>
  <c r="R47" i="6" s="1"/>
  <c r="R15" i="6"/>
  <c r="R48" i="6" s="1"/>
  <c r="R16" i="6"/>
  <c r="R49" i="6" s="1"/>
  <c r="S16" i="6"/>
  <c r="S11" i="6"/>
  <c r="S6" i="6"/>
  <c r="S14" i="6"/>
  <c r="S15" i="6"/>
  <c r="S3" i="6"/>
  <c r="S4" i="6"/>
  <c r="S10" i="6"/>
  <c r="S9" i="6"/>
  <c r="S12" i="6"/>
  <c r="S7" i="6"/>
  <c r="S5" i="6"/>
  <c r="S13" i="6"/>
  <c r="S8" i="6"/>
  <c r="T13" i="6"/>
  <c r="T3" i="6"/>
  <c r="T15" i="6"/>
  <c r="T6" i="6"/>
  <c r="T14" i="6"/>
  <c r="T9" i="6"/>
  <c r="T7" i="6"/>
  <c r="T8" i="6"/>
  <c r="T11" i="6"/>
  <c r="T4" i="6"/>
  <c r="T12" i="6"/>
  <c r="T10" i="6"/>
  <c r="T5" i="6"/>
  <c r="T16" i="6"/>
  <c r="S51" i="6" l="1"/>
  <c r="S33" i="6"/>
  <c r="E38" i="6" s="1"/>
  <c r="T33" i="6"/>
  <c r="F38" i="6" s="1"/>
  <c r="R33" i="6"/>
  <c r="D38" i="6" s="1"/>
  <c r="D39" i="6" l="1"/>
  <c r="D40" i="6" s="1"/>
  <c r="F39" i="6"/>
  <c r="F40" i="6" s="1"/>
  <c r="E39" i="6"/>
  <c r="E40" i="6" s="1"/>
  <c r="D49" i="6"/>
  <c r="D43" i="6"/>
  <c r="D44" i="6" s="1"/>
  <c r="D45" i="6" s="1"/>
  <c r="D48" i="6"/>
  <c r="F49" i="6"/>
  <c r="F48" i="6"/>
  <c r="F43" i="6"/>
  <c r="F44" i="6" s="1"/>
  <c r="F45" i="6" s="1"/>
  <c r="E49" i="6"/>
  <c r="E48" i="6"/>
  <c r="E43" i="6"/>
  <c r="E44" i="6" s="1"/>
  <c r="E45" i="6" s="1"/>
</calcChain>
</file>

<file path=xl/sharedStrings.xml><?xml version="1.0" encoding="utf-8"?>
<sst xmlns="http://schemas.openxmlformats.org/spreadsheetml/2006/main" count="72" uniqueCount="39">
  <si>
    <t>Sample No</t>
  </si>
  <si>
    <t>Sample weight (kg)</t>
  </si>
  <si>
    <t>variance</t>
  </si>
  <si>
    <t>n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</si>
  <si>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</si>
  <si>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</si>
  <si>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</si>
  <si>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</si>
  <si>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</si>
  <si>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</si>
  <si>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</si>
  <si>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</si>
  <si>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</si>
  <si>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</si>
  <si>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Sample data (kg)</t>
  </si>
  <si>
    <t>sp composition (kg)</t>
  </si>
  <si>
    <t>95% confidence interval</t>
  </si>
  <si>
    <t>Estimation results</t>
  </si>
  <si>
    <t>sample size results</t>
  </si>
  <si>
    <t>teih_spp</t>
  </si>
  <si>
    <t>sppPercWeight_s2</t>
  </si>
  <si>
    <t>error margin</t>
  </si>
  <si>
    <t>SUM</t>
  </si>
  <si>
    <t>error margin in %</t>
  </si>
  <si>
    <t>error margin in kg</t>
  </si>
  <si>
    <t>Validation</t>
  </si>
  <si>
    <t>Unsorted weight (kg)</t>
  </si>
  <si>
    <t>sp composition</t>
  </si>
  <si>
    <t>Proportion in weight</t>
  </si>
  <si>
    <t>Weight (kg)</t>
  </si>
  <si>
    <t>fill in the areas in yellow (bucket composition; total weight of unsorted catch; target error margins)</t>
  </si>
  <si>
    <t>main results are displayed in bold (species estimates in proportion and weight; sample size estimated to attain the error margin)</t>
  </si>
  <si>
    <t>squared errors</t>
  </si>
  <si>
    <t>comparison R33 vs R52</t>
  </si>
  <si>
    <t>sum of squared errors / 13</t>
  </si>
  <si>
    <t>-&gt; R3^2</t>
  </si>
  <si>
    <t>-&gt; =SUM(R36:R49)/13</t>
  </si>
  <si>
    <t>-&gt; R16^2</t>
  </si>
  <si>
    <t>-&gt; =S51=R33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</si>
</sst>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2" borderId="0" xfId="0" applyFill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4" fillId="0" borderId="1" xfId="0" applyFont="1" applyBorder="1" applyAlignment="1">
      <alignment horizontal="center"/>
    </xf>
    <xf numFmtId="0" fontId="2" fillId="6" borderId="4" xfId="0" applyFont="1" applyFill="1" applyBorder="1"/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10" xfId="0" applyFont="1" applyBorder="1"/>
    <xf numFmtId="0" fontId="2" fillId="0" borderId="1" xfId="0" applyFont="1" applyBorder="1"/>
    <xf numFmtId="0" fontId="2" fillId="6" borderId="6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5" borderId="4" xfId="0" applyFill="1" applyBorder="1"/>
    <xf numFmtId="0" fontId="2" fillId="5" borderId="5" xfId="0" applyFont="1" applyFill="1" applyBorder="1"/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5" fillId="0" borderId="1" xfId="0" applyFont="1" applyBorder="1"/>
    <xf numFmtId="0" fontId="4" fillId="5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4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5" fillId="0" borderId="11" xfId="0" applyFont="1" applyBorder="1"/>
    <xf numFmtId="0" fontId="0" fillId="0" borderId="14" xfId="0" applyBorder="1" applyAlignment="1">
      <alignment horizontal="center"/>
    </xf>
    <xf numFmtId="0" fontId="7" fillId="0" borderId="15" xfId="0" applyFont="1" applyBorder="1"/>
    <xf numFmtId="0" fontId="5" fillId="0" borderId="12" xfId="0" applyFont="1" applyBorder="1"/>
    <xf numFmtId="0" fontId="5" fillId="0" borderId="13" xfId="0" applyFont="1" applyBorder="1"/>
    <xf numFmtId="0" fontId="0" fillId="2" borderId="1" xfId="0" applyFill="1" applyBorder="1"/>
    <xf numFmtId="0" fontId="0" fillId="2" borderId="20" xfId="0" applyFill="1" applyBorder="1"/>
    <xf numFmtId="0" fontId="2" fillId="7" borderId="19" xfId="0" applyFont="1" applyFill="1" applyBorder="1" applyAlignment="1">
      <alignment horizontal="center"/>
    </xf>
    <xf numFmtId="165" fontId="2" fillId="0" borderId="1" xfId="0" applyNumberFormat="1" applyFont="1" applyBorder="1"/>
    <xf numFmtId="165" fontId="2" fillId="0" borderId="1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164" fontId="2" fillId="0" borderId="1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2" borderId="12" xfId="0" applyFont="1" applyFill="1" applyBorder="1"/>
    <xf numFmtId="0" fontId="2" fillId="0" borderId="11" xfId="0" applyFont="1" applyBorder="1" applyAlignment="1">
      <alignment horizontal="right"/>
    </xf>
    <xf numFmtId="0" fontId="0" fillId="0" borderId="14" xfId="0" applyBorder="1" applyAlignment="1">
      <alignment horizontal="center" textRotation="90" wrapText="1"/>
    </xf>
    <xf numFmtId="0" fontId="0" fillId="0" borderId="14" xfId="0" applyBorder="1" applyAlignment="1">
      <alignment horizontal="center" textRotation="90"/>
    </xf>
    <xf numFmtId="0" fontId="0" fillId="0" borderId="15" xfId="0" applyBorder="1" applyAlignment="1">
      <alignment horizontal="center" textRotation="90"/>
    </xf>
    <xf numFmtId="0" fontId="6" fillId="4" borderId="18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8" borderId="0" xfId="0" applyFill="1"/>
    <xf numFmtId="0" fontId="0" fillId="0" borderId="0" xfId="0" quotePrefix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47625</xdr:rowOff>
    </xdr:from>
    <xdr:to>
      <xdr:col>5</xdr:col>
      <xdr:colOff>266700</xdr:colOff>
      <xdr:row>3</xdr:row>
      <xdr:rowOff>152400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9D5A8BD-325B-6C68-837B-3A95DA14481B}"/>
            </a:ext>
          </a:extLst>
        </xdr:cNvPr>
        <xdr:cNvSpPr/>
      </xdr:nvSpPr>
      <xdr:spPr>
        <a:xfrm>
          <a:off x="2828925" y="428625"/>
          <a:ext cx="485775" cy="2952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311727</xdr:colOff>
      <xdr:row>36</xdr:row>
      <xdr:rowOff>95250</xdr:rowOff>
    </xdr:from>
    <xdr:to>
      <xdr:col>18</xdr:col>
      <xdr:colOff>311727</xdr:colOff>
      <xdr:row>47</xdr:row>
      <xdr:rowOff>155864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D08A41C-3B77-4175-EAED-11DB49302F07}"/>
            </a:ext>
          </a:extLst>
        </xdr:cNvPr>
        <xdr:cNvCxnSpPr/>
      </xdr:nvCxnSpPr>
      <xdr:spPr>
        <a:xfrm>
          <a:off x="13092545" y="6641523"/>
          <a:ext cx="0" cy="20868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327F-A0A8-449A-8EBB-C9B2CC34A60B}">
  <dimension ref="B2:M5"/>
  <sheetViews>
    <sheetView workbookViewId="0">
      <selection activeCell="B6" sqref="B6"/>
    </sheetView>
  </sheetViews>
  <sheetFormatPr defaultRowHeight="14.25" x14ac:dyDescent="0.45"/>
  <sheetData>
    <row r="2" spans="2:13" x14ac:dyDescent="0.45">
      <c r="B2" s="7" t="s">
        <v>30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3" x14ac:dyDescent="0.45"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2:13" x14ac:dyDescent="0.45">
      <c r="B5" s="8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tabSelected="1" zoomScale="55" zoomScaleNormal="55" workbookViewId="0">
      <pane ySplit="1" topLeftCell="A2" activePane="bottomLeft" state="frozen"/>
      <selection activeCell="I36" sqref="I36"/>
      <selection pane="bottomLeft" activeCell="T54" sqref="T54"/>
    </sheetView>
  </sheetViews>
  <sheetFormatPr defaultRowHeight="14.25" x14ac:dyDescent="0.45"/>
  <cols>
    <col min="1" max="1" width="9.73046875" customWidth="1"/>
    <col min="2" max="2" width="24" bestFit="1" customWidth="1"/>
    <col min="3" max="3" width="23.1328125" customWidth="1"/>
    <col min="4" max="6" width="20.1328125" customWidth="1"/>
    <col min="7" max="7" width="20.1328125" hidden="1" customWidth="1"/>
    <col min="8" max="13" width="20.1328125" style="5" hidden="1" customWidth="1"/>
    <col min="14" max="14" width="10.59765625" style="5" bestFit="1" customWidth="1"/>
    <col min="15" max="16" width="22.73046875" customWidth="1"/>
    <col min="17" max="17" width="23.3984375" bestFit="1" customWidth="1"/>
    <col min="18" max="18" width="22.46484375" customWidth="1"/>
    <col min="27" max="27" width="21" bestFit="1" customWidth="1"/>
    <col min="28" max="28" width="21" customWidth="1"/>
  </cols>
  <sheetData>
    <row r="1" spans="2:28" x14ac:dyDescent="0.45">
      <c r="B1" s="63" t="s">
        <v>14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/>
      <c r="O1" s="46" t="s">
        <v>26</v>
      </c>
      <c r="Q1" s="60" t="s">
        <v>19</v>
      </c>
      <c r="R1" s="61"/>
      <c r="S1" s="61"/>
      <c r="T1" s="61"/>
      <c r="U1" s="61"/>
      <c r="V1" s="61"/>
      <c r="W1" s="61"/>
      <c r="X1" s="61"/>
      <c r="Y1" s="61"/>
      <c r="Z1" s="61"/>
      <c r="AA1" s="62"/>
    </row>
    <row r="2" spans="2:28" ht="14.65" thickBot="1" x14ac:dyDescent="0.5">
      <c r="B2" s="1" t="s">
        <v>0</v>
      </c>
      <c r="C2" s="4" t="s">
        <v>1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0"/>
      <c r="O2" s="45">
        <v>99700</v>
      </c>
      <c r="P2" s="10"/>
      <c r="Q2" s="37"/>
      <c r="R2" s="12" t="s">
        <v>4</v>
      </c>
      <c r="S2" s="12" t="s">
        <v>5</v>
      </c>
      <c r="T2" s="12" t="s">
        <v>6</v>
      </c>
      <c r="U2" s="12" t="s">
        <v>7</v>
      </c>
      <c r="V2" s="12" t="s">
        <v>8</v>
      </c>
      <c r="W2" s="12" t="s">
        <v>9</v>
      </c>
      <c r="X2" s="12" t="s">
        <v>10</v>
      </c>
      <c r="Y2" s="12" t="s">
        <v>11</v>
      </c>
      <c r="Z2" s="12" t="s">
        <v>12</v>
      </c>
      <c r="AA2" s="36" t="s">
        <v>13</v>
      </c>
      <c r="AB2" s="10"/>
    </row>
    <row r="3" spans="2:28" x14ac:dyDescent="0.45">
      <c r="B3" s="3">
        <v>1</v>
      </c>
      <c r="C3" s="9">
        <f>SUM(D3:M3)</f>
        <v>7.23</v>
      </c>
      <c r="D3" s="44">
        <v>7.23</v>
      </c>
      <c r="E3" s="44">
        <v>0</v>
      </c>
      <c r="F3" s="44">
        <v>0</v>
      </c>
      <c r="G3" s="44"/>
      <c r="H3" s="44"/>
      <c r="I3" s="44"/>
      <c r="J3" s="44"/>
      <c r="K3" s="44"/>
      <c r="L3" s="44"/>
      <c r="M3" s="44"/>
      <c r="N3"/>
      <c r="Q3" s="38"/>
      <c r="R3" s="29">
        <f t="shared" ref="R3:AA3" si="0">IF(ISNUMBER(D3),D3-D$37*$C3,"")</f>
        <v>0.46975027624309273</v>
      </c>
      <c r="S3" s="29">
        <f t="shared" si="0"/>
        <v>-0.44818011049723766</v>
      </c>
      <c r="T3" s="29">
        <f t="shared" si="0"/>
        <v>-2.1570165745856362E-2</v>
      </c>
      <c r="U3" s="29" t="str">
        <f t="shared" si="0"/>
        <v/>
      </c>
      <c r="V3" s="29" t="str">
        <f t="shared" si="0"/>
        <v/>
      </c>
      <c r="W3" s="29" t="str">
        <f t="shared" si="0"/>
        <v/>
      </c>
      <c r="X3" s="29" t="str">
        <f t="shared" si="0"/>
        <v/>
      </c>
      <c r="Y3" s="29" t="str">
        <f t="shared" si="0"/>
        <v/>
      </c>
      <c r="Z3" s="29" t="str">
        <f t="shared" si="0"/>
        <v/>
      </c>
      <c r="AA3" s="39" t="str">
        <f t="shared" si="0"/>
        <v/>
      </c>
    </row>
    <row r="4" spans="2:28" x14ac:dyDescent="0.45">
      <c r="B4" s="3">
        <v>2</v>
      </c>
      <c r="C4" s="9">
        <f t="shared" ref="C4:C16" si="1">SUM(D4:M4)</f>
        <v>2.84</v>
      </c>
      <c r="D4" s="44">
        <v>2.84</v>
      </c>
      <c r="E4" s="44">
        <v>0</v>
      </c>
      <c r="F4" s="44">
        <v>0</v>
      </c>
      <c r="G4" s="44"/>
      <c r="H4" s="44"/>
      <c r="I4" s="44"/>
      <c r="J4" s="44"/>
      <c r="K4" s="44"/>
      <c r="L4" s="44"/>
      <c r="M4" s="44"/>
      <c r="N4"/>
      <c r="Q4" s="38"/>
      <c r="R4" s="29">
        <f t="shared" ref="R4:R32" si="2">IF(ISNUMBER(D4),D4-D$37*$C4,"")</f>
        <v>0.18452154696132528</v>
      </c>
      <c r="S4" s="29">
        <f t="shared" ref="S4:S18" si="3">IF(ISNUMBER(E4),E4-E$37*$C4,"")</f>
        <v>-0.1760486187845304</v>
      </c>
      <c r="T4" s="29">
        <f t="shared" ref="T4:T18" si="4">IF(ISNUMBER(F4),F4-F$37*$C4,"")</f>
        <v>-8.472928176795581E-3</v>
      </c>
      <c r="U4" s="29" t="str">
        <f t="shared" ref="U4:U18" si="5">IF(ISNUMBER(G4),G4-G$37*$C4,"")</f>
        <v/>
      </c>
      <c r="V4" s="29" t="str">
        <f t="shared" ref="V4:V18" si="6">IF(ISNUMBER(H4),H4-H$37*$C4,"")</f>
        <v/>
      </c>
      <c r="W4" s="29" t="str">
        <f t="shared" ref="W4:W18" si="7">IF(ISNUMBER(I4),I4-I$37*$C4,"")</f>
        <v/>
      </c>
      <c r="X4" s="29" t="str">
        <f t="shared" ref="X4:X18" si="8">IF(ISNUMBER(J4),J4-J$37*$C4,"")</f>
        <v/>
      </c>
      <c r="Y4" s="29" t="str">
        <f t="shared" ref="Y4:Y18" si="9">IF(ISNUMBER(K4),K4-K$37*$C4,"")</f>
        <v/>
      </c>
      <c r="Z4" s="29" t="str">
        <f t="shared" ref="Z4:Z18" si="10">IF(ISNUMBER(L4),L4-L$37*$C4,"")</f>
        <v/>
      </c>
      <c r="AA4" s="39" t="str">
        <f t="shared" ref="AA4:AA18" si="11">IF(ISNUMBER(M4),M4-M$37*$C4,"")</f>
        <v/>
      </c>
      <c r="AB4" s="6"/>
    </row>
    <row r="5" spans="2:28" x14ac:dyDescent="0.45">
      <c r="B5" s="3">
        <v>3</v>
      </c>
      <c r="C5" s="9">
        <f t="shared" si="1"/>
        <v>7.15</v>
      </c>
      <c r="D5" s="44">
        <v>7.15</v>
      </c>
      <c r="E5" s="44">
        <v>0</v>
      </c>
      <c r="F5" s="44">
        <v>0</v>
      </c>
      <c r="G5" s="44"/>
      <c r="H5" s="44"/>
      <c r="I5" s="44"/>
      <c r="J5" s="44"/>
      <c r="K5" s="44"/>
      <c r="L5" s="44"/>
      <c r="M5" s="44"/>
      <c r="N5"/>
      <c r="Q5" s="38"/>
      <c r="R5" s="29">
        <f t="shared" si="2"/>
        <v>0.46455248618784406</v>
      </c>
      <c r="S5" s="29">
        <f t="shared" si="3"/>
        <v>-0.44322099447513824</v>
      </c>
      <c r="T5" s="29">
        <f t="shared" si="4"/>
        <v>-2.1331491712707189E-2</v>
      </c>
      <c r="U5" s="29" t="str">
        <f t="shared" si="5"/>
        <v/>
      </c>
      <c r="V5" s="29" t="str">
        <f t="shared" si="6"/>
        <v/>
      </c>
      <c r="W5" s="29" t="str">
        <f t="shared" si="7"/>
        <v/>
      </c>
      <c r="X5" s="29" t="str">
        <f t="shared" si="8"/>
        <v/>
      </c>
      <c r="Y5" s="29" t="str">
        <f t="shared" si="9"/>
        <v/>
      </c>
      <c r="Z5" s="29" t="str">
        <f t="shared" si="10"/>
        <v/>
      </c>
      <c r="AA5" s="39" t="str">
        <f t="shared" si="11"/>
        <v/>
      </c>
      <c r="AB5" s="6"/>
    </row>
    <row r="6" spans="2:28" x14ac:dyDescent="0.45">
      <c r="B6" s="3">
        <v>4</v>
      </c>
      <c r="C6" s="9">
        <f t="shared" si="1"/>
        <v>6.45</v>
      </c>
      <c r="D6" s="44">
        <v>6.45</v>
      </c>
      <c r="E6" s="44">
        <v>0</v>
      </c>
      <c r="F6" s="44">
        <v>0</v>
      </c>
      <c r="G6" s="44"/>
      <c r="H6" s="44"/>
      <c r="I6" s="44"/>
      <c r="J6" s="44"/>
      <c r="K6" s="44"/>
      <c r="L6" s="44"/>
      <c r="M6" s="44"/>
      <c r="N6"/>
      <c r="Q6" s="38"/>
      <c r="R6" s="29">
        <f t="shared" si="2"/>
        <v>0.41907182320441905</v>
      </c>
      <c r="S6" s="29">
        <f t="shared" si="3"/>
        <v>-0.39982872928176805</v>
      </c>
      <c r="T6" s="29">
        <f t="shared" si="4"/>
        <v>-1.924309392265194E-2</v>
      </c>
      <c r="U6" s="29" t="str">
        <f t="shared" si="5"/>
        <v/>
      </c>
      <c r="V6" s="29" t="str">
        <f t="shared" si="6"/>
        <v/>
      </c>
      <c r="W6" s="29" t="str">
        <f t="shared" si="7"/>
        <v/>
      </c>
      <c r="X6" s="29" t="str">
        <f t="shared" si="8"/>
        <v/>
      </c>
      <c r="Y6" s="29" t="str">
        <f t="shared" si="9"/>
        <v/>
      </c>
      <c r="Z6" s="29" t="str">
        <f t="shared" si="10"/>
        <v/>
      </c>
      <c r="AA6" s="39" t="str">
        <f t="shared" si="11"/>
        <v/>
      </c>
      <c r="AB6" s="6"/>
    </row>
    <row r="7" spans="2:28" x14ac:dyDescent="0.45">
      <c r="B7" s="3">
        <v>5</v>
      </c>
      <c r="C7" s="9">
        <f t="shared" si="1"/>
        <v>7.97</v>
      </c>
      <c r="D7" s="44">
        <v>7.97</v>
      </c>
      <c r="E7" s="44">
        <v>0</v>
      </c>
      <c r="F7" s="44">
        <v>0</v>
      </c>
      <c r="G7" s="44"/>
      <c r="H7" s="44"/>
      <c r="I7" s="44"/>
      <c r="J7" s="44"/>
      <c r="K7" s="44"/>
      <c r="L7" s="44"/>
      <c r="M7" s="44"/>
      <c r="N7"/>
      <c r="Q7" s="38"/>
      <c r="R7" s="29">
        <f t="shared" si="2"/>
        <v>0.51782983425414209</v>
      </c>
      <c r="S7" s="29">
        <f t="shared" si="3"/>
        <v>-0.49405193370165756</v>
      </c>
      <c r="T7" s="29">
        <f t="shared" si="4"/>
        <v>-2.3777900552486193E-2</v>
      </c>
      <c r="U7" s="29" t="str">
        <f t="shared" si="5"/>
        <v/>
      </c>
      <c r="V7" s="29" t="str">
        <f t="shared" si="6"/>
        <v/>
      </c>
      <c r="W7" s="29" t="str">
        <f t="shared" si="7"/>
        <v/>
      </c>
      <c r="X7" s="29" t="str">
        <f t="shared" si="8"/>
        <v/>
      </c>
      <c r="Y7" s="29" t="str">
        <f t="shared" si="9"/>
        <v/>
      </c>
      <c r="Z7" s="29" t="str">
        <f t="shared" si="10"/>
        <v/>
      </c>
      <c r="AA7" s="39" t="str">
        <f t="shared" si="11"/>
        <v/>
      </c>
      <c r="AB7" s="6"/>
    </row>
    <row r="8" spans="2:28" x14ac:dyDescent="0.45">
      <c r="B8" s="3">
        <v>6</v>
      </c>
      <c r="C8" s="9">
        <f t="shared" si="1"/>
        <v>7.39</v>
      </c>
      <c r="D8" s="44">
        <v>5.19</v>
      </c>
      <c r="E8" s="44">
        <v>2.06</v>
      </c>
      <c r="F8" s="44">
        <v>0.14000000000000001</v>
      </c>
      <c r="G8" s="44"/>
      <c r="H8" s="44"/>
      <c r="I8" s="44"/>
      <c r="J8" s="44"/>
      <c r="K8" s="44"/>
      <c r="L8" s="44"/>
      <c r="M8" s="44"/>
      <c r="N8"/>
      <c r="Q8" s="38"/>
      <c r="R8" s="29">
        <f t="shared" si="2"/>
        <v>-1.7198541436464092</v>
      </c>
      <c r="S8" s="29">
        <f t="shared" si="3"/>
        <v>1.6019016574585634</v>
      </c>
      <c r="T8" s="29">
        <f t="shared" si="4"/>
        <v>0.11795248618784532</v>
      </c>
      <c r="U8" s="29" t="str">
        <f t="shared" si="5"/>
        <v/>
      </c>
      <c r="V8" s="29" t="str">
        <f t="shared" si="6"/>
        <v/>
      </c>
      <c r="W8" s="29" t="str">
        <f t="shared" si="7"/>
        <v/>
      </c>
      <c r="X8" s="29" t="str">
        <f t="shared" si="8"/>
        <v/>
      </c>
      <c r="Y8" s="29" t="str">
        <f t="shared" si="9"/>
        <v/>
      </c>
      <c r="Z8" s="29" t="str">
        <f t="shared" si="10"/>
        <v/>
      </c>
      <c r="AA8" s="39" t="str">
        <f t="shared" si="11"/>
        <v/>
      </c>
      <c r="AB8" s="6"/>
    </row>
    <row r="9" spans="2:28" x14ac:dyDescent="0.45">
      <c r="B9" s="3">
        <v>7</v>
      </c>
      <c r="C9" s="9">
        <f t="shared" si="1"/>
        <v>7.36</v>
      </c>
      <c r="D9" s="44">
        <v>7.36</v>
      </c>
      <c r="E9" s="44">
        <v>0</v>
      </c>
      <c r="F9" s="44">
        <v>0</v>
      </c>
      <c r="G9" s="44"/>
      <c r="H9" s="44"/>
      <c r="I9" s="44"/>
      <c r="J9" s="44"/>
      <c r="K9" s="44"/>
      <c r="L9" s="44"/>
      <c r="M9" s="44"/>
      <c r="N9"/>
      <c r="Q9" s="38"/>
      <c r="R9" s="29">
        <f t="shared" si="2"/>
        <v>0.47819668508287183</v>
      </c>
      <c r="S9" s="29">
        <f t="shared" si="3"/>
        <v>-0.45623867403314927</v>
      </c>
      <c r="T9" s="29">
        <f t="shared" si="4"/>
        <v>-2.1958011049723763E-2</v>
      </c>
      <c r="U9" s="29" t="str">
        <f t="shared" si="5"/>
        <v/>
      </c>
      <c r="V9" s="29" t="str">
        <f t="shared" si="6"/>
        <v/>
      </c>
      <c r="W9" s="29" t="str">
        <f t="shared" si="7"/>
        <v/>
      </c>
      <c r="X9" s="29" t="str">
        <f t="shared" si="8"/>
        <v/>
      </c>
      <c r="Y9" s="29" t="str">
        <f t="shared" si="9"/>
        <v/>
      </c>
      <c r="Z9" s="29" t="str">
        <f t="shared" si="10"/>
        <v/>
      </c>
      <c r="AA9" s="39" t="str">
        <f t="shared" si="11"/>
        <v/>
      </c>
      <c r="AB9" s="6"/>
    </row>
    <row r="10" spans="2:28" x14ac:dyDescent="0.45">
      <c r="B10" s="3">
        <v>8</v>
      </c>
      <c r="C10" s="9">
        <f t="shared" si="1"/>
        <v>2.79</v>
      </c>
      <c r="D10" s="44">
        <v>2.79</v>
      </c>
      <c r="E10" s="44">
        <v>0</v>
      </c>
      <c r="F10" s="44">
        <v>0</v>
      </c>
      <c r="G10" s="44"/>
      <c r="H10" s="44"/>
      <c r="I10" s="44"/>
      <c r="J10" s="44"/>
      <c r="K10" s="44"/>
      <c r="L10" s="44"/>
      <c r="M10" s="44"/>
      <c r="N10"/>
      <c r="Q10" s="38"/>
      <c r="R10" s="29">
        <f t="shared" si="2"/>
        <v>0.18127292817679486</v>
      </c>
      <c r="S10" s="29">
        <f t="shared" si="3"/>
        <v>-0.17294917127071827</v>
      </c>
      <c r="T10" s="29">
        <f t="shared" si="4"/>
        <v>-8.3237569060773502E-3</v>
      </c>
      <c r="U10" s="29" t="str">
        <f t="shared" si="5"/>
        <v/>
      </c>
      <c r="V10" s="29" t="str">
        <f t="shared" si="6"/>
        <v/>
      </c>
      <c r="W10" s="29" t="str">
        <f t="shared" si="7"/>
        <v/>
      </c>
      <c r="X10" s="29" t="str">
        <f t="shared" si="8"/>
        <v/>
      </c>
      <c r="Y10" s="29" t="str">
        <f t="shared" si="9"/>
        <v/>
      </c>
      <c r="Z10" s="29" t="str">
        <f t="shared" si="10"/>
        <v/>
      </c>
      <c r="AA10" s="39" t="str">
        <f t="shared" si="11"/>
        <v/>
      </c>
      <c r="AB10" s="6"/>
    </row>
    <row r="11" spans="2:28" x14ac:dyDescent="0.45">
      <c r="B11" s="3">
        <v>9</v>
      </c>
      <c r="C11" s="9">
        <f t="shared" si="1"/>
        <v>7.1</v>
      </c>
      <c r="D11" s="44">
        <v>7.1</v>
      </c>
      <c r="E11" s="44">
        <v>0</v>
      </c>
      <c r="F11" s="44">
        <v>0</v>
      </c>
      <c r="G11" s="44"/>
      <c r="H11" s="44"/>
      <c r="I11" s="44"/>
      <c r="J11" s="44"/>
      <c r="K11" s="44"/>
      <c r="L11" s="44"/>
      <c r="M11" s="44"/>
      <c r="N11"/>
      <c r="Q11" s="38"/>
      <c r="R11" s="29">
        <f t="shared" si="2"/>
        <v>0.46130386740331364</v>
      </c>
      <c r="S11" s="29">
        <f t="shared" si="3"/>
        <v>-0.44012154696132605</v>
      </c>
      <c r="T11" s="29">
        <f t="shared" si="4"/>
        <v>-2.1182320441988953E-2</v>
      </c>
      <c r="U11" s="29" t="str">
        <f t="shared" si="5"/>
        <v/>
      </c>
      <c r="V11" s="29" t="str">
        <f t="shared" si="6"/>
        <v/>
      </c>
      <c r="W11" s="29" t="str">
        <f t="shared" si="7"/>
        <v/>
      </c>
      <c r="X11" s="29" t="str">
        <f t="shared" si="8"/>
        <v/>
      </c>
      <c r="Y11" s="29" t="str">
        <f t="shared" si="9"/>
        <v/>
      </c>
      <c r="Z11" s="29" t="str">
        <f t="shared" si="10"/>
        <v/>
      </c>
      <c r="AA11" s="39" t="str">
        <f t="shared" si="11"/>
        <v/>
      </c>
      <c r="AB11" s="6"/>
    </row>
    <row r="12" spans="2:28" x14ac:dyDescent="0.45">
      <c r="B12" s="3">
        <v>10</v>
      </c>
      <c r="C12" s="9">
        <f t="shared" si="1"/>
        <v>5.68</v>
      </c>
      <c r="D12" s="44">
        <v>5.68</v>
      </c>
      <c r="E12" s="44">
        <v>0</v>
      </c>
      <c r="F12" s="44">
        <v>0</v>
      </c>
      <c r="G12" s="44"/>
      <c r="H12" s="44"/>
      <c r="I12" s="44"/>
      <c r="J12" s="44"/>
      <c r="K12" s="44"/>
      <c r="L12" s="44"/>
      <c r="M12" s="44"/>
      <c r="N12"/>
      <c r="Q12" s="38"/>
      <c r="R12" s="29">
        <f t="shared" si="2"/>
        <v>0.36904309392265056</v>
      </c>
      <c r="S12" s="29">
        <f t="shared" si="3"/>
        <v>-0.35209723756906081</v>
      </c>
      <c r="T12" s="29">
        <f t="shared" si="4"/>
        <v>-1.6945856353591162E-2</v>
      </c>
      <c r="U12" s="29" t="str">
        <f t="shared" si="5"/>
        <v/>
      </c>
      <c r="V12" s="29" t="str">
        <f t="shared" si="6"/>
        <v/>
      </c>
      <c r="W12" s="29" t="str">
        <f t="shared" si="7"/>
        <v/>
      </c>
      <c r="X12" s="29" t="str">
        <f t="shared" si="8"/>
        <v/>
      </c>
      <c r="Y12" s="29" t="str">
        <f t="shared" si="9"/>
        <v/>
      </c>
      <c r="Z12" s="29" t="str">
        <f t="shared" si="10"/>
        <v/>
      </c>
      <c r="AA12" s="39" t="str">
        <f t="shared" si="11"/>
        <v/>
      </c>
      <c r="AB12" s="6"/>
    </row>
    <row r="13" spans="2:28" x14ac:dyDescent="0.45">
      <c r="B13" s="3">
        <v>11</v>
      </c>
      <c r="C13" s="9">
        <f t="shared" si="1"/>
        <v>7.36</v>
      </c>
      <c r="D13" s="44">
        <v>7.36</v>
      </c>
      <c r="E13" s="44">
        <v>0</v>
      </c>
      <c r="F13" s="44">
        <v>0</v>
      </c>
      <c r="G13" s="44"/>
      <c r="H13" s="44"/>
      <c r="I13" s="44"/>
      <c r="J13" s="44"/>
      <c r="K13" s="44"/>
      <c r="L13" s="44"/>
      <c r="M13" s="44"/>
      <c r="N13"/>
      <c r="Q13" s="38"/>
      <c r="R13" s="29">
        <f t="shared" si="2"/>
        <v>0.47819668508287183</v>
      </c>
      <c r="S13" s="29">
        <f t="shared" si="3"/>
        <v>-0.45623867403314927</v>
      </c>
      <c r="T13" s="29">
        <f t="shared" si="4"/>
        <v>-2.1958011049723763E-2</v>
      </c>
      <c r="U13" s="29" t="str">
        <f t="shared" si="5"/>
        <v/>
      </c>
      <c r="V13" s="29" t="str">
        <f t="shared" si="6"/>
        <v/>
      </c>
      <c r="W13" s="29" t="str">
        <f t="shared" si="7"/>
        <v/>
      </c>
      <c r="X13" s="29" t="str">
        <f t="shared" si="8"/>
        <v/>
      </c>
      <c r="Y13" s="29" t="str">
        <f t="shared" si="9"/>
        <v/>
      </c>
      <c r="Z13" s="29" t="str">
        <f t="shared" si="10"/>
        <v/>
      </c>
      <c r="AA13" s="39" t="str">
        <f t="shared" si="11"/>
        <v/>
      </c>
      <c r="AB13" s="6"/>
    </row>
    <row r="14" spans="2:28" x14ac:dyDescent="0.45">
      <c r="B14" s="3">
        <v>12</v>
      </c>
      <c r="C14" s="9">
        <f t="shared" si="1"/>
        <v>8.5299999999999994</v>
      </c>
      <c r="D14" s="44">
        <v>5.17</v>
      </c>
      <c r="E14" s="44">
        <v>3.25</v>
      </c>
      <c r="F14" s="44">
        <v>0.11</v>
      </c>
      <c r="G14" s="44"/>
      <c r="H14" s="44"/>
      <c r="I14" s="44"/>
      <c r="J14" s="44"/>
      <c r="K14" s="44"/>
      <c r="L14" s="44"/>
      <c r="M14" s="44"/>
      <c r="N14"/>
      <c r="Q14" s="38"/>
      <c r="R14" s="29">
        <f t="shared" si="2"/>
        <v>-2.8057856353591175</v>
      </c>
      <c r="S14" s="29">
        <f t="shared" si="3"/>
        <v>2.7212342541436465</v>
      </c>
      <c r="T14" s="29">
        <f t="shared" si="4"/>
        <v>8.4551381215469609E-2</v>
      </c>
      <c r="U14" s="29" t="str">
        <f t="shared" si="5"/>
        <v/>
      </c>
      <c r="V14" s="29" t="str">
        <f t="shared" si="6"/>
        <v/>
      </c>
      <c r="W14" s="29" t="str">
        <f t="shared" si="7"/>
        <v/>
      </c>
      <c r="X14" s="29" t="str">
        <f t="shared" si="8"/>
        <v/>
      </c>
      <c r="Y14" s="29" t="str">
        <f t="shared" si="9"/>
        <v/>
      </c>
      <c r="Z14" s="29" t="str">
        <f t="shared" si="10"/>
        <v/>
      </c>
      <c r="AA14" s="39" t="str">
        <f t="shared" si="11"/>
        <v/>
      </c>
      <c r="AB14" s="6"/>
    </row>
    <row r="15" spans="2:28" x14ac:dyDescent="0.45">
      <c r="B15" s="3">
        <v>13</v>
      </c>
      <c r="C15" s="9">
        <f t="shared" si="1"/>
        <v>6.55</v>
      </c>
      <c r="D15" s="44">
        <v>6.55</v>
      </c>
      <c r="E15" s="44">
        <v>0</v>
      </c>
      <c r="F15" s="44">
        <v>0</v>
      </c>
      <c r="G15" s="44"/>
      <c r="H15" s="44"/>
      <c r="I15" s="44"/>
      <c r="J15" s="44"/>
      <c r="K15" s="44"/>
      <c r="L15" s="44"/>
      <c r="M15" s="44"/>
      <c r="N15"/>
      <c r="Q15" s="38"/>
      <c r="R15" s="29">
        <f t="shared" si="2"/>
        <v>0.425569060773479</v>
      </c>
      <c r="S15" s="29">
        <f t="shared" si="3"/>
        <v>-0.40602762430939232</v>
      </c>
      <c r="T15" s="29">
        <f t="shared" si="4"/>
        <v>-1.9541436464088402E-2</v>
      </c>
      <c r="U15" s="29" t="str">
        <f t="shared" si="5"/>
        <v/>
      </c>
      <c r="V15" s="29" t="str">
        <f t="shared" si="6"/>
        <v/>
      </c>
      <c r="W15" s="29" t="str">
        <f t="shared" si="7"/>
        <v/>
      </c>
      <c r="X15" s="29" t="str">
        <f t="shared" si="8"/>
        <v/>
      </c>
      <c r="Y15" s="29" t="str">
        <f t="shared" si="9"/>
        <v/>
      </c>
      <c r="Z15" s="29" t="str">
        <f t="shared" si="10"/>
        <v/>
      </c>
      <c r="AA15" s="39" t="str">
        <f t="shared" si="11"/>
        <v/>
      </c>
      <c r="AB15" s="6"/>
    </row>
    <row r="16" spans="2:28" x14ac:dyDescent="0.45">
      <c r="B16" s="3">
        <v>14</v>
      </c>
      <c r="C16" s="9">
        <f t="shared" si="1"/>
        <v>6.1</v>
      </c>
      <c r="D16" s="44">
        <v>5.78</v>
      </c>
      <c r="E16" s="44">
        <v>0.3</v>
      </c>
      <c r="F16" s="44">
        <v>0.02</v>
      </c>
      <c r="G16" s="44"/>
      <c r="H16" s="44"/>
      <c r="I16" s="44"/>
      <c r="J16" s="44"/>
      <c r="K16" s="44"/>
      <c r="L16" s="44"/>
      <c r="M16" s="44"/>
      <c r="N16"/>
      <c r="Q16" s="38"/>
      <c r="R16" s="29">
        <f t="shared" si="2"/>
        <v>7.6331491712706701E-2</v>
      </c>
      <c r="S16" s="29">
        <f t="shared" si="3"/>
        <v>-7.8132596685082933E-2</v>
      </c>
      <c r="T16" s="29">
        <f t="shared" si="4"/>
        <v>1.8011049723756882E-3</v>
      </c>
      <c r="U16" s="29" t="str">
        <f t="shared" si="5"/>
        <v/>
      </c>
      <c r="V16" s="29" t="str">
        <f t="shared" si="6"/>
        <v/>
      </c>
      <c r="W16" s="29" t="str">
        <f t="shared" si="7"/>
        <v/>
      </c>
      <c r="X16" s="29" t="str">
        <f t="shared" si="8"/>
        <v/>
      </c>
      <c r="Y16" s="29" t="str">
        <f t="shared" si="9"/>
        <v/>
      </c>
      <c r="Z16" s="29" t="str">
        <f t="shared" si="10"/>
        <v/>
      </c>
      <c r="AA16" s="39" t="str">
        <f t="shared" si="11"/>
        <v/>
      </c>
      <c r="AB16" s="6"/>
    </row>
    <row r="17" spans="2:28" x14ac:dyDescent="0.45">
      <c r="B17" s="3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O17" s="5"/>
      <c r="P17" s="5"/>
      <c r="Q17" s="40"/>
      <c r="R17" s="29" t="str">
        <f t="shared" si="2"/>
        <v/>
      </c>
      <c r="S17" s="29" t="str">
        <f t="shared" si="3"/>
        <v/>
      </c>
      <c r="T17" s="29" t="str">
        <f t="shared" si="4"/>
        <v/>
      </c>
      <c r="U17" s="29" t="str">
        <f t="shared" si="5"/>
        <v/>
      </c>
      <c r="V17" s="29" t="str">
        <f t="shared" si="6"/>
        <v/>
      </c>
      <c r="W17" s="29" t="str">
        <f t="shared" si="7"/>
        <v/>
      </c>
      <c r="X17" s="29" t="str">
        <f t="shared" si="8"/>
        <v/>
      </c>
      <c r="Y17" s="29" t="str">
        <f t="shared" si="9"/>
        <v/>
      </c>
      <c r="Z17" s="29" t="str">
        <f t="shared" si="10"/>
        <v/>
      </c>
      <c r="AA17" s="39" t="str">
        <f t="shared" si="11"/>
        <v/>
      </c>
      <c r="AB17" s="6"/>
    </row>
    <row r="18" spans="2:28" x14ac:dyDescent="0.45">
      <c r="B18" s="3">
        <v>16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O18" s="5"/>
      <c r="P18" s="5"/>
      <c r="Q18" s="40"/>
      <c r="R18" s="29" t="str">
        <f t="shared" si="2"/>
        <v/>
      </c>
      <c r="S18" s="29" t="str">
        <f t="shared" si="3"/>
        <v/>
      </c>
      <c r="T18" s="29" t="str">
        <f t="shared" si="4"/>
        <v/>
      </c>
      <c r="U18" s="29" t="str">
        <f t="shared" si="5"/>
        <v/>
      </c>
      <c r="V18" s="29" t="str">
        <f t="shared" si="6"/>
        <v/>
      </c>
      <c r="W18" s="29" t="str">
        <f t="shared" si="7"/>
        <v/>
      </c>
      <c r="X18" s="29" t="str">
        <f t="shared" si="8"/>
        <v/>
      </c>
      <c r="Y18" s="29" t="str">
        <f t="shared" si="9"/>
        <v/>
      </c>
      <c r="Z18" s="29" t="str">
        <f t="shared" si="10"/>
        <v/>
      </c>
      <c r="AA18" s="39" t="str">
        <f t="shared" si="11"/>
        <v/>
      </c>
      <c r="AB18" s="6"/>
    </row>
    <row r="19" spans="2:28" x14ac:dyDescent="0.45">
      <c r="B19" s="3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5"/>
      <c r="P19" s="5"/>
      <c r="Q19" s="40"/>
      <c r="R19" s="29" t="str">
        <f t="shared" si="2"/>
        <v/>
      </c>
      <c r="S19" s="29" t="str">
        <f t="shared" ref="S19:S32" si="12">IF(ISNUMBER(E19),E19-E$37*$C19,"")</f>
        <v/>
      </c>
      <c r="T19" s="29" t="str">
        <f t="shared" ref="T19:T32" si="13">IF(ISNUMBER(F19),F19-F$37*$C19,"")</f>
        <v/>
      </c>
      <c r="U19" s="29" t="str">
        <f t="shared" ref="U19:U32" si="14">IF(ISNUMBER(G19),G19-G$37*$C19,"")</f>
        <v/>
      </c>
      <c r="V19" s="29" t="str">
        <f t="shared" ref="V19:V32" si="15">IF(ISNUMBER(H19),H19-H$37*$C19,"")</f>
        <v/>
      </c>
      <c r="W19" s="29" t="str">
        <f t="shared" ref="W19:W32" si="16">IF(ISNUMBER(I19),I19-I$37*$C19,"")</f>
        <v/>
      </c>
      <c r="X19" s="29" t="str">
        <f t="shared" ref="X19:X32" si="17">IF(ISNUMBER(J19),J19-J$37*$C19,"")</f>
        <v/>
      </c>
      <c r="Y19" s="29" t="str">
        <f t="shared" ref="Y19:Y32" si="18">IF(ISNUMBER(K19),K19-K$37*$C19,"")</f>
        <v/>
      </c>
      <c r="Z19" s="29" t="str">
        <f t="shared" ref="Z19:Z32" si="19">IF(ISNUMBER(L19),L19-L$37*$C19,"")</f>
        <v/>
      </c>
      <c r="AA19" s="39" t="str">
        <f t="shared" ref="AA19:AA32" si="20">IF(ISNUMBER(M19),M19-M$37*$C19,"")</f>
        <v/>
      </c>
      <c r="AB19" s="6"/>
    </row>
    <row r="20" spans="2:28" x14ac:dyDescent="0.45">
      <c r="B20" s="3">
        <v>18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O20" s="5"/>
      <c r="P20" s="5"/>
      <c r="Q20" s="40"/>
      <c r="R20" s="29" t="str">
        <f t="shared" si="2"/>
        <v/>
      </c>
      <c r="S20" s="29" t="str">
        <f t="shared" si="12"/>
        <v/>
      </c>
      <c r="T20" s="29" t="str">
        <f t="shared" si="13"/>
        <v/>
      </c>
      <c r="U20" s="29" t="str">
        <f t="shared" si="14"/>
        <v/>
      </c>
      <c r="V20" s="29" t="str">
        <f t="shared" si="15"/>
        <v/>
      </c>
      <c r="W20" s="29" t="str">
        <f t="shared" si="16"/>
        <v/>
      </c>
      <c r="X20" s="29" t="str">
        <f t="shared" si="17"/>
        <v/>
      </c>
      <c r="Y20" s="29" t="str">
        <f t="shared" si="18"/>
        <v/>
      </c>
      <c r="Z20" s="29" t="str">
        <f t="shared" si="19"/>
        <v/>
      </c>
      <c r="AA20" s="39" t="str">
        <f t="shared" si="20"/>
        <v/>
      </c>
      <c r="AB20" s="6"/>
    </row>
    <row r="21" spans="2:28" x14ac:dyDescent="0.45">
      <c r="B21" s="3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O21" s="5"/>
      <c r="P21" s="5"/>
      <c r="Q21" s="40"/>
      <c r="R21" s="29" t="str">
        <f t="shared" si="2"/>
        <v/>
      </c>
      <c r="S21" s="29" t="str">
        <f t="shared" si="12"/>
        <v/>
      </c>
      <c r="T21" s="29" t="str">
        <f t="shared" si="13"/>
        <v/>
      </c>
      <c r="U21" s="29" t="str">
        <f t="shared" si="14"/>
        <v/>
      </c>
      <c r="V21" s="29" t="str">
        <f t="shared" si="15"/>
        <v/>
      </c>
      <c r="W21" s="29" t="str">
        <f t="shared" si="16"/>
        <v/>
      </c>
      <c r="X21" s="29" t="str">
        <f t="shared" si="17"/>
        <v/>
      </c>
      <c r="Y21" s="29" t="str">
        <f t="shared" si="18"/>
        <v/>
      </c>
      <c r="Z21" s="29" t="str">
        <f t="shared" si="19"/>
        <v/>
      </c>
      <c r="AA21" s="39" t="str">
        <f t="shared" si="20"/>
        <v/>
      </c>
      <c r="AB21" s="6"/>
    </row>
    <row r="22" spans="2:28" x14ac:dyDescent="0.45">
      <c r="B22" s="3">
        <v>20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O22" s="5"/>
      <c r="P22" s="5"/>
      <c r="Q22" s="40"/>
      <c r="R22" s="29" t="str">
        <f t="shared" si="2"/>
        <v/>
      </c>
      <c r="S22" s="29" t="str">
        <f t="shared" si="12"/>
        <v/>
      </c>
      <c r="T22" s="29" t="str">
        <f t="shared" si="13"/>
        <v/>
      </c>
      <c r="U22" s="29" t="str">
        <f t="shared" si="14"/>
        <v/>
      </c>
      <c r="V22" s="29" t="str">
        <f t="shared" si="15"/>
        <v/>
      </c>
      <c r="W22" s="29" t="str">
        <f t="shared" si="16"/>
        <v/>
      </c>
      <c r="X22" s="29" t="str">
        <f t="shared" si="17"/>
        <v/>
      </c>
      <c r="Y22" s="29" t="str">
        <f t="shared" si="18"/>
        <v/>
      </c>
      <c r="Z22" s="29" t="str">
        <f t="shared" si="19"/>
        <v/>
      </c>
      <c r="AA22" s="39" t="str">
        <f t="shared" si="20"/>
        <v/>
      </c>
      <c r="AB22" s="6"/>
    </row>
    <row r="23" spans="2:28" x14ac:dyDescent="0.45">
      <c r="B23" s="3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O23" s="5"/>
      <c r="P23" s="5"/>
      <c r="Q23" s="40"/>
      <c r="R23" s="29" t="str">
        <f t="shared" si="2"/>
        <v/>
      </c>
      <c r="S23" s="29" t="str">
        <f t="shared" si="12"/>
        <v/>
      </c>
      <c r="T23" s="29" t="str">
        <f t="shared" si="13"/>
        <v/>
      </c>
      <c r="U23" s="29" t="str">
        <f t="shared" si="14"/>
        <v/>
      </c>
      <c r="V23" s="29" t="str">
        <f t="shared" si="15"/>
        <v/>
      </c>
      <c r="W23" s="29" t="str">
        <f t="shared" si="16"/>
        <v/>
      </c>
      <c r="X23" s="29" t="str">
        <f t="shared" si="17"/>
        <v/>
      </c>
      <c r="Y23" s="29" t="str">
        <f t="shared" si="18"/>
        <v/>
      </c>
      <c r="Z23" s="29" t="str">
        <f t="shared" si="19"/>
        <v/>
      </c>
      <c r="AA23" s="39" t="str">
        <f t="shared" si="20"/>
        <v/>
      </c>
      <c r="AB23" s="6"/>
    </row>
    <row r="24" spans="2:28" x14ac:dyDescent="0.45">
      <c r="B24" s="3">
        <v>22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5"/>
      <c r="P24" s="5"/>
      <c r="Q24" s="40"/>
      <c r="R24" s="29" t="str">
        <f t="shared" si="2"/>
        <v/>
      </c>
      <c r="S24" s="29" t="str">
        <f t="shared" si="12"/>
        <v/>
      </c>
      <c r="T24" s="29" t="str">
        <f t="shared" si="13"/>
        <v/>
      </c>
      <c r="U24" s="29" t="str">
        <f t="shared" si="14"/>
        <v/>
      </c>
      <c r="V24" s="29" t="str">
        <f t="shared" si="15"/>
        <v/>
      </c>
      <c r="W24" s="29" t="str">
        <f t="shared" si="16"/>
        <v/>
      </c>
      <c r="X24" s="29" t="str">
        <f t="shared" si="17"/>
        <v/>
      </c>
      <c r="Y24" s="29" t="str">
        <f t="shared" si="18"/>
        <v/>
      </c>
      <c r="Z24" s="29" t="str">
        <f t="shared" si="19"/>
        <v/>
      </c>
      <c r="AA24" s="39" t="str">
        <f t="shared" si="20"/>
        <v/>
      </c>
      <c r="AB24" s="6"/>
    </row>
    <row r="25" spans="2:28" x14ac:dyDescent="0.45">
      <c r="B25" s="3">
        <v>23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5"/>
      <c r="P25" s="5"/>
      <c r="Q25" s="40"/>
      <c r="R25" s="29" t="str">
        <f t="shared" si="2"/>
        <v/>
      </c>
      <c r="S25" s="29" t="str">
        <f t="shared" si="12"/>
        <v/>
      </c>
      <c r="T25" s="29" t="str">
        <f t="shared" si="13"/>
        <v/>
      </c>
      <c r="U25" s="29" t="str">
        <f t="shared" si="14"/>
        <v/>
      </c>
      <c r="V25" s="29" t="str">
        <f t="shared" si="15"/>
        <v/>
      </c>
      <c r="W25" s="29" t="str">
        <f t="shared" si="16"/>
        <v/>
      </c>
      <c r="X25" s="29" t="str">
        <f t="shared" si="17"/>
        <v/>
      </c>
      <c r="Y25" s="29" t="str">
        <f t="shared" si="18"/>
        <v/>
      </c>
      <c r="Z25" s="29" t="str">
        <f t="shared" si="19"/>
        <v/>
      </c>
      <c r="AA25" s="39" t="str">
        <f t="shared" si="20"/>
        <v/>
      </c>
      <c r="AB25" s="6"/>
    </row>
    <row r="26" spans="2:28" x14ac:dyDescent="0.45">
      <c r="B26" s="3">
        <v>24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O26" s="5"/>
      <c r="P26" s="5"/>
      <c r="Q26" s="40"/>
      <c r="R26" s="29" t="str">
        <f t="shared" si="2"/>
        <v/>
      </c>
      <c r="S26" s="29" t="str">
        <f t="shared" si="12"/>
        <v/>
      </c>
      <c r="T26" s="29" t="str">
        <f t="shared" si="13"/>
        <v/>
      </c>
      <c r="U26" s="29" t="str">
        <f t="shared" si="14"/>
        <v/>
      </c>
      <c r="V26" s="29" t="str">
        <f t="shared" si="15"/>
        <v/>
      </c>
      <c r="W26" s="29" t="str">
        <f t="shared" si="16"/>
        <v/>
      </c>
      <c r="X26" s="29" t="str">
        <f t="shared" si="17"/>
        <v/>
      </c>
      <c r="Y26" s="29" t="str">
        <f t="shared" si="18"/>
        <v/>
      </c>
      <c r="Z26" s="29" t="str">
        <f t="shared" si="19"/>
        <v/>
      </c>
      <c r="AA26" s="39" t="str">
        <f t="shared" si="20"/>
        <v/>
      </c>
      <c r="AB26" s="6"/>
    </row>
    <row r="27" spans="2:28" x14ac:dyDescent="0.45">
      <c r="B27" s="3">
        <v>25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5"/>
      <c r="P27" s="5"/>
      <c r="Q27" s="40"/>
      <c r="R27" s="29" t="str">
        <f t="shared" si="2"/>
        <v/>
      </c>
      <c r="S27" s="29" t="str">
        <f t="shared" si="12"/>
        <v/>
      </c>
      <c r="T27" s="29" t="str">
        <f t="shared" si="13"/>
        <v/>
      </c>
      <c r="U27" s="29" t="str">
        <f t="shared" si="14"/>
        <v/>
      </c>
      <c r="V27" s="29" t="str">
        <f t="shared" si="15"/>
        <v/>
      </c>
      <c r="W27" s="29" t="str">
        <f t="shared" si="16"/>
        <v/>
      </c>
      <c r="X27" s="29" t="str">
        <f t="shared" si="17"/>
        <v/>
      </c>
      <c r="Y27" s="29" t="str">
        <f t="shared" si="18"/>
        <v/>
      </c>
      <c r="Z27" s="29" t="str">
        <f t="shared" si="19"/>
        <v/>
      </c>
      <c r="AA27" s="39" t="str">
        <f t="shared" si="20"/>
        <v/>
      </c>
      <c r="AB27" s="6"/>
    </row>
    <row r="28" spans="2:28" x14ac:dyDescent="0.45">
      <c r="B28" s="3">
        <v>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5"/>
      <c r="P28" s="5"/>
      <c r="Q28" s="40"/>
      <c r="R28" s="29" t="str">
        <f t="shared" si="2"/>
        <v/>
      </c>
      <c r="S28" s="29" t="str">
        <f t="shared" si="12"/>
        <v/>
      </c>
      <c r="T28" s="29" t="str">
        <f t="shared" si="13"/>
        <v/>
      </c>
      <c r="U28" s="29" t="str">
        <f t="shared" si="14"/>
        <v/>
      </c>
      <c r="V28" s="29" t="str">
        <f t="shared" si="15"/>
        <v/>
      </c>
      <c r="W28" s="29" t="str">
        <f t="shared" si="16"/>
        <v/>
      </c>
      <c r="X28" s="29" t="str">
        <f t="shared" si="17"/>
        <v/>
      </c>
      <c r="Y28" s="29" t="str">
        <f t="shared" si="18"/>
        <v/>
      </c>
      <c r="Z28" s="29" t="str">
        <f t="shared" si="19"/>
        <v/>
      </c>
      <c r="AA28" s="39" t="str">
        <f t="shared" si="20"/>
        <v/>
      </c>
      <c r="AB28" s="6"/>
    </row>
    <row r="29" spans="2:28" x14ac:dyDescent="0.45">
      <c r="B29" s="3">
        <v>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5"/>
      <c r="P29" s="5"/>
      <c r="Q29" s="40"/>
      <c r="R29" s="29" t="str">
        <f t="shared" si="2"/>
        <v/>
      </c>
      <c r="S29" s="29" t="str">
        <f t="shared" si="12"/>
        <v/>
      </c>
      <c r="T29" s="29" t="str">
        <f t="shared" si="13"/>
        <v/>
      </c>
      <c r="U29" s="29" t="str">
        <f t="shared" si="14"/>
        <v/>
      </c>
      <c r="V29" s="29" t="str">
        <f t="shared" si="15"/>
        <v/>
      </c>
      <c r="W29" s="29" t="str">
        <f t="shared" si="16"/>
        <v/>
      </c>
      <c r="X29" s="29" t="str">
        <f t="shared" si="17"/>
        <v/>
      </c>
      <c r="Y29" s="29" t="str">
        <f t="shared" si="18"/>
        <v/>
      </c>
      <c r="Z29" s="29" t="str">
        <f t="shared" si="19"/>
        <v/>
      </c>
      <c r="AA29" s="39" t="str">
        <f t="shared" si="20"/>
        <v/>
      </c>
      <c r="AB29" s="6"/>
    </row>
    <row r="30" spans="2:28" x14ac:dyDescent="0.45">
      <c r="B30" s="3">
        <v>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O30" s="5"/>
      <c r="P30" s="5"/>
      <c r="Q30" s="40"/>
      <c r="R30" s="29" t="str">
        <f t="shared" si="2"/>
        <v/>
      </c>
      <c r="S30" s="29" t="str">
        <f t="shared" si="12"/>
        <v/>
      </c>
      <c r="T30" s="29" t="str">
        <f t="shared" si="13"/>
        <v/>
      </c>
      <c r="U30" s="29" t="str">
        <f t="shared" si="14"/>
        <v/>
      </c>
      <c r="V30" s="29" t="str">
        <f t="shared" si="15"/>
        <v/>
      </c>
      <c r="W30" s="29" t="str">
        <f t="shared" si="16"/>
        <v/>
      </c>
      <c r="X30" s="29" t="str">
        <f t="shared" si="17"/>
        <v/>
      </c>
      <c r="Y30" s="29" t="str">
        <f t="shared" si="18"/>
        <v/>
      </c>
      <c r="Z30" s="29" t="str">
        <f t="shared" si="19"/>
        <v/>
      </c>
      <c r="AA30" s="39" t="str">
        <f t="shared" si="20"/>
        <v/>
      </c>
      <c r="AB30" s="6"/>
    </row>
    <row r="31" spans="2:28" x14ac:dyDescent="0.45">
      <c r="B31" s="3">
        <v>29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O31" s="5"/>
      <c r="P31" s="5"/>
      <c r="Q31" s="40"/>
      <c r="R31" s="29" t="str">
        <f t="shared" si="2"/>
        <v/>
      </c>
      <c r="S31" s="29" t="str">
        <f t="shared" si="12"/>
        <v/>
      </c>
      <c r="T31" s="29" t="str">
        <f t="shared" si="13"/>
        <v/>
      </c>
      <c r="U31" s="29" t="str">
        <f t="shared" si="14"/>
        <v/>
      </c>
      <c r="V31" s="29" t="str">
        <f t="shared" si="15"/>
        <v/>
      </c>
      <c r="W31" s="29" t="str">
        <f t="shared" si="16"/>
        <v/>
      </c>
      <c r="X31" s="29" t="str">
        <f t="shared" si="17"/>
        <v/>
      </c>
      <c r="Y31" s="29" t="str">
        <f t="shared" si="18"/>
        <v/>
      </c>
      <c r="Z31" s="29" t="str">
        <f t="shared" si="19"/>
        <v/>
      </c>
      <c r="AA31" s="39" t="str">
        <f t="shared" si="20"/>
        <v/>
      </c>
      <c r="AB31" s="6"/>
    </row>
    <row r="32" spans="2:28" x14ac:dyDescent="0.45">
      <c r="B32" s="3">
        <v>30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O32" s="5"/>
      <c r="P32" s="5"/>
      <c r="Q32" s="40"/>
      <c r="R32" s="29" t="str">
        <f t="shared" si="2"/>
        <v/>
      </c>
      <c r="S32" s="29" t="str">
        <f t="shared" si="12"/>
        <v/>
      </c>
      <c r="T32" s="29" t="str">
        <f t="shared" si="13"/>
        <v/>
      </c>
      <c r="U32" s="29" t="str">
        <f t="shared" si="14"/>
        <v/>
      </c>
      <c r="V32" s="29" t="str">
        <f t="shared" si="15"/>
        <v/>
      </c>
      <c r="W32" s="29" t="str">
        <f t="shared" si="16"/>
        <v/>
      </c>
      <c r="X32" s="29" t="str">
        <f t="shared" si="17"/>
        <v/>
      </c>
      <c r="Y32" s="29" t="str">
        <f t="shared" si="18"/>
        <v/>
      </c>
      <c r="Z32" s="29" t="str">
        <f t="shared" si="19"/>
        <v/>
      </c>
      <c r="AA32" s="39" t="str">
        <f t="shared" si="20"/>
        <v/>
      </c>
      <c r="AB32" s="6"/>
    </row>
    <row r="33" spans="1:27" ht="14.65" thickBot="1" x14ac:dyDescent="0.5">
      <c r="B33" s="34" t="s">
        <v>22</v>
      </c>
      <c r="C33" s="12">
        <f>SUM(C3:C32)</f>
        <v>90.499999999999986</v>
      </c>
      <c r="D33" s="12">
        <f>SUM(D3:D32)</f>
        <v>84.62</v>
      </c>
      <c r="E33" s="12">
        <f>SUM(E3:E32)</f>
        <v>5.61</v>
      </c>
      <c r="F33" s="12">
        <f>SUM(F3:F32)</f>
        <v>0.27</v>
      </c>
      <c r="G33" s="12">
        <f t="shared" ref="G33:M33" si="21">SUM(G3:G32)</f>
        <v>0</v>
      </c>
      <c r="H33" s="12">
        <f t="shared" si="21"/>
        <v>0</v>
      </c>
      <c r="I33" s="12">
        <f t="shared" si="21"/>
        <v>0</v>
      </c>
      <c r="J33" s="12">
        <f t="shared" si="21"/>
        <v>0</v>
      </c>
      <c r="K33" s="12">
        <f t="shared" si="21"/>
        <v>0</v>
      </c>
      <c r="L33" s="12">
        <f t="shared" si="21"/>
        <v>0</v>
      </c>
      <c r="M33" s="12">
        <f t="shared" si="21"/>
        <v>0</v>
      </c>
      <c r="O33" s="5"/>
      <c r="P33" s="5"/>
      <c r="Q33" s="41" t="s">
        <v>20</v>
      </c>
      <c r="R33" s="42">
        <f t="shared" ref="R33:T33" si="22">IF(R3&lt;&gt;"",_xlfn.VAR.S(R3:R32),"")</f>
        <v>0.98236587477737358</v>
      </c>
      <c r="S33" s="42">
        <f t="shared" si="22"/>
        <v>0.90294768738401432</v>
      </c>
      <c r="T33" s="42">
        <f t="shared" si="22"/>
        <v>1.9341587134796773E-3</v>
      </c>
      <c r="U33" s="42" t="str">
        <f>IF(U3&lt;&gt;"",_xlfn.VAR.S(U3:U32),"")</f>
        <v/>
      </c>
      <c r="V33" s="42" t="str">
        <f t="shared" ref="V33:AA33" si="23">IF(V3&lt;&gt;"",_xlfn.VAR.S(V3:V32),"")</f>
        <v/>
      </c>
      <c r="W33" s="42" t="str">
        <f t="shared" si="23"/>
        <v/>
      </c>
      <c r="X33" s="42" t="str">
        <f t="shared" si="23"/>
        <v/>
      </c>
      <c r="Y33" s="42" t="str">
        <f t="shared" si="23"/>
        <v/>
      </c>
      <c r="Z33" s="42" t="str">
        <f t="shared" si="23"/>
        <v/>
      </c>
      <c r="AA33" s="43" t="str">
        <f t="shared" si="23"/>
        <v/>
      </c>
    </row>
    <row r="34" spans="1:27" x14ac:dyDescent="0.45">
      <c r="B34" s="34" t="s">
        <v>3</v>
      </c>
      <c r="C34" s="12">
        <f>COUNT(C3:C32)</f>
        <v>14</v>
      </c>
      <c r="D34" s="35"/>
      <c r="E34" s="35"/>
      <c r="F34" s="32"/>
      <c r="G34" s="32"/>
      <c r="H34" s="32"/>
      <c r="I34" s="32"/>
      <c r="J34" s="32"/>
      <c r="K34" s="32"/>
      <c r="L34" s="32"/>
      <c r="M34" s="32"/>
    </row>
    <row r="35" spans="1:27" ht="14.65" thickBot="1" x14ac:dyDescent="0.5">
      <c r="R35" t="s">
        <v>32</v>
      </c>
    </row>
    <row r="36" spans="1:27" x14ac:dyDescent="0.45">
      <c r="A36" s="23"/>
      <c r="B36" s="24" t="s">
        <v>17</v>
      </c>
      <c r="C36" s="30" t="s">
        <v>25</v>
      </c>
      <c r="D36" s="25" t="s">
        <v>4</v>
      </c>
      <c r="E36" s="25" t="s">
        <v>5</v>
      </c>
      <c r="F36" s="25" t="s">
        <v>6</v>
      </c>
      <c r="G36" s="25" t="s">
        <v>7</v>
      </c>
      <c r="H36" s="25" t="s">
        <v>8</v>
      </c>
      <c r="I36" s="25" t="s">
        <v>9</v>
      </c>
      <c r="J36" s="25" t="s">
        <v>10</v>
      </c>
      <c r="K36" s="25" t="s">
        <v>11</v>
      </c>
      <c r="L36" s="25" t="s">
        <v>12</v>
      </c>
      <c r="M36" s="26" t="s">
        <v>13</v>
      </c>
      <c r="R36">
        <f>R3^2</f>
        <v>0.22066532203046194</v>
      </c>
      <c r="S36" s="66" t="s">
        <v>35</v>
      </c>
    </row>
    <row r="37" spans="1:27" x14ac:dyDescent="0.45">
      <c r="A37" s="57" t="s">
        <v>28</v>
      </c>
      <c r="B37" s="2" t="s">
        <v>27</v>
      </c>
      <c r="C37" s="31" t="b">
        <f>SUM(D37:M37)=1</f>
        <v>1</v>
      </c>
      <c r="D37" s="47">
        <f>SUM(D3:D32)/$C$33</f>
        <v>0.93502762430939246</v>
      </c>
      <c r="E37" s="47">
        <f t="shared" ref="E37:M37" si="24">SUM(E3:E32)/$C$33</f>
        <v>6.1988950276243106E-2</v>
      </c>
      <c r="F37" s="47">
        <f t="shared" si="24"/>
        <v>2.9834254143646416E-3</v>
      </c>
      <c r="G37" s="47">
        <f t="shared" si="24"/>
        <v>0</v>
      </c>
      <c r="H37" s="47">
        <f t="shared" si="24"/>
        <v>0</v>
      </c>
      <c r="I37" s="47">
        <f t="shared" si="24"/>
        <v>0</v>
      </c>
      <c r="J37" s="47">
        <f t="shared" si="24"/>
        <v>0</v>
      </c>
      <c r="K37" s="47">
        <f t="shared" si="24"/>
        <v>0</v>
      </c>
      <c r="L37" s="47">
        <f t="shared" si="24"/>
        <v>0</v>
      </c>
      <c r="M37" s="48">
        <f t="shared" si="24"/>
        <v>0</v>
      </c>
      <c r="R37">
        <f>R4^2</f>
        <v>3.4048201293000568E-2</v>
      </c>
    </row>
    <row r="38" spans="1:27" x14ac:dyDescent="0.45">
      <c r="A38" s="57"/>
      <c r="B38" s="2" t="s">
        <v>2</v>
      </c>
      <c r="C38" s="31"/>
      <c r="D38" s="47">
        <f t="shared" ref="D38:M38" si="25">IF(D33&lt;&gt;0, 1/($C$33/$C$34)^2*R33/$C$34,"")</f>
        <v>1.6792066477681676E-3</v>
      </c>
      <c r="E38" s="47">
        <f t="shared" si="25"/>
        <v>1.5434532063583167E-3</v>
      </c>
      <c r="F38" s="47">
        <f t="shared" si="25"/>
        <v>3.3061532906462548E-6</v>
      </c>
      <c r="G38" s="47" t="str">
        <f t="shared" si="25"/>
        <v/>
      </c>
      <c r="H38" s="47" t="str">
        <f t="shared" si="25"/>
        <v/>
      </c>
      <c r="I38" s="47" t="str">
        <f t="shared" si="25"/>
        <v/>
      </c>
      <c r="J38" s="47" t="str">
        <f t="shared" si="25"/>
        <v/>
      </c>
      <c r="K38" s="47" t="str">
        <f t="shared" si="25"/>
        <v/>
      </c>
      <c r="L38" s="47" t="str">
        <f t="shared" si="25"/>
        <v/>
      </c>
      <c r="M38" s="48" t="str">
        <f t="shared" si="25"/>
        <v/>
      </c>
      <c r="R38">
        <f>R5^2</f>
        <v>0.21580901242330705</v>
      </c>
    </row>
    <row r="39" spans="1:27" x14ac:dyDescent="0.45">
      <c r="A39" s="57"/>
      <c r="B39" s="2" t="s">
        <v>21</v>
      </c>
      <c r="C39" s="31"/>
      <c r="D39" s="47">
        <f>IF(D38&lt;&gt;"",1.96*SQRT(D38),"")</f>
        <v>8.031712306890848E-2</v>
      </c>
      <c r="E39" s="47">
        <f t="shared" ref="E39:M39" si="26">IF(E38&lt;&gt;"",1.96*SQRT(E38),"")</f>
        <v>7.7002141772460508E-2</v>
      </c>
      <c r="F39" s="47">
        <f t="shared" si="26"/>
        <v>3.5638347999516831E-3</v>
      </c>
      <c r="G39" s="47" t="str">
        <f t="shared" si="26"/>
        <v/>
      </c>
      <c r="H39" s="47" t="str">
        <f t="shared" si="26"/>
        <v/>
      </c>
      <c r="I39" s="47" t="str">
        <f t="shared" si="26"/>
        <v/>
      </c>
      <c r="J39" s="47" t="str">
        <f t="shared" si="26"/>
        <v/>
      </c>
      <c r="K39" s="47" t="str">
        <f t="shared" si="26"/>
        <v/>
      </c>
      <c r="L39" s="47" t="str">
        <f t="shared" si="26"/>
        <v/>
      </c>
      <c r="M39" s="48" t="str">
        <f t="shared" si="26"/>
        <v/>
      </c>
      <c r="R39">
        <f>R6^2</f>
        <v>0.17562119300387585</v>
      </c>
    </row>
    <row r="40" spans="1:27" x14ac:dyDescent="0.45">
      <c r="A40" s="57"/>
      <c r="B40" s="2" t="s">
        <v>16</v>
      </c>
      <c r="C40" s="31"/>
      <c r="D40" s="49" t="str">
        <f>IF(D39&lt;&gt;"","["&amp;ROUND(D37-D39,3)&amp;" , "&amp;ROUND(D37+D39,3)&amp;"]","")</f>
        <v>[0.855 , 1.015]</v>
      </c>
      <c r="E40" s="49" t="str">
        <f t="shared" ref="E40:M40" si="27">IF(E39&lt;&gt;"","["&amp;ROUND(E37-E39,3)&amp;" , "&amp;ROUND(E37+E39,3)&amp;"]","")</f>
        <v>[-0.015 , 0.139]</v>
      </c>
      <c r="F40" s="49" t="str">
        <f t="shared" si="27"/>
        <v>[-0.001 , 0.007]</v>
      </c>
      <c r="G40" s="49" t="str">
        <f t="shared" si="27"/>
        <v/>
      </c>
      <c r="H40" s="49" t="str">
        <f t="shared" si="27"/>
        <v/>
      </c>
      <c r="I40" s="49" t="str">
        <f t="shared" si="27"/>
        <v/>
      </c>
      <c r="J40" s="49" t="str">
        <f t="shared" si="27"/>
        <v/>
      </c>
      <c r="K40" s="49" t="str">
        <f t="shared" si="27"/>
        <v/>
      </c>
      <c r="L40" s="49" t="str">
        <f t="shared" si="27"/>
        <v/>
      </c>
      <c r="M40" s="56" t="str">
        <f t="shared" si="27"/>
        <v/>
      </c>
      <c r="R40">
        <f>R7^2</f>
        <v>0.26814773724367225</v>
      </c>
    </row>
    <row r="41" spans="1:27" x14ac:dyDescent="0.45">
      <c r="A41" s="27"/>
      <c r="C41" s="32"/>
      <c r="D41" s="8"/>
      <c r="E41" s="8"/>
      <c r="F41" s="8"/>
      <c r="G41" s="8"/>
      <c r="H41" s="10"/>
      <c r="I41" s="10"/>
      <c r="J41" s="10"/>
      <c r="K41" s="10"/>
      <c r="L41" s="10"/>
      <c r="M41" s="50"/>
      <c r="R41">
        <f>R8^2</f>
        <v>2.9578982754177234</v>
      </c>
    </row>
    <row r="42" spans="1:27" ht="16.5" customHeight="1" x14ac:dyDescent="0.45">
      <c r="A42" s="58" t="s">
        <v>29</v>
      </c>
      <c r="B42" s="2" t="s">
        <v>15</v>
      </c>
      <c r="C42" s="31" t="b">
        <f>SUM(D42:M42)=O2</f>
        <v>1</v>
      </c>
      <c r="D42" s="51">
        <f t="shared" ref="D42:M42" si="28">$O$2*D37</f>
        <v>93222.254143646423</v>
      </c>
      <c r="E42" s="51">
        <f t="shared" si="28"/>
        <v>6180.2983425414377</v>
      </c>
      <c r="F42" s="51">
        <f t="shared" si="28"/>
        <v>297.4475138121548</v>
      </c>
      <c r="G42" s="51">
        <f t="shared" si="28"/>
        <v>0</v>
      </c>
      <c r="H42" s="51">
        <f t="shared" si="28"/>
        <v>0</v>
      </c>
      <c r="I42" s="51">
        <f t="shared" si="28"/>
        <v>0</v>
      </c>
      <c r="J42" s="51">
        <f t="shared" si="28"/>
        <v>0</v>
      </c>
      <c r="K42" s="51">
        <f t="shared" si="28"/>
        <v>0</v>
      </c>
      <c r="L42" s="51">
        <f t="shared" si="28"/>
        <v>0</v>
      </c>
      <c r="M42" s="52">
        <f t="shared" si="28"/>
        <v>0</v>
      </c>
      <c r="R42">
        <f>R9^2</f>
        <v>0.2286720696242473</v>
      </c>
    </row>
    <row r="43" spans="1:27" x14ac:dyDescent="0.45">
      <c r="A43" s="58"/>
      <c r="B43" s="2" t="s">
        <v>2</v>
      </c>
      <c r="C43" s="31"/>
      <c r="D43" s="51">
        <f t="shared" ref="D43:M43" si="29">IF(D38&lt;&gt;"",$O$2^2*D38,"")</f>
        <v>16691465.207413886</v>
      </c>
      <c r="E43" s="51">
        <f t="shared" si="29"/>
        <v>15342063.781990239</v>
      </c>
      <c r="F43" s="51">
        <f t="shared" si="29"/>
        <v>32863.461262819932</v>
      </c>
      <c r="G43" s="51" t="str">
        <f t="shared" si="29"/>
        <v/>
      </c>
      <c r="H43" s="51" t="str">
        <f t="shared" si="29"/>
        <v/>
      </c>
      <c r="I43" s="51" t="str">
        <f t="shared" si="29"/>
        <v/>
      </c>
      <c r="J43" s="51" t="str">
        <f t="shared" si="29"/>
        <v/>
      </c>
      <c r="K43" s="51" t="str">
        <f t="shared" si="29"/>
        <v/>
      </c>
      <c r="L43" s="51" t="str">
        <f t="shared" si="29"/>
        <v/>
      </c>
      <c r="M43" s="52" t="str">
        <f t="shared" si="29"/>
        <v/>
      </c>
      <c r="R43">
        <f>R10^2</f>
        <v>3.2859874489789428E-2</v>
      </c>
    </row>
    <row r="44" spans="1:27" x14ac:dyDescent="0.45">
      <c r="A44" s="58"/>
      <c r="B44" s="2" t="s">
        <v>21</v>
      </c>
      <c r="C44" s="31"/>
      <c r="D44" s="51">
        <f>IF(D38&lt;&gt;"",1.96*SQRT(D43),"")</f>
        <v>8007.6171699701763</v>
      </c>
      <c r="E44" s="51">
        <f t="shared" ref="E44:M44" si="30">IF(E38&lt;&gt;"",1.96*SQRT(E43),"")</f>
        <v>7677.1135347143136</v>
      </c>
      <c r="F44" s="51">
        <f t="shared" si="30"/>
        <v>355.31432955518278</v>
      </c>
      <c r="G44" s="51" t="str">
        <f t="shared" si="30"/>
        <v/>
      </c>
      <c r="H44" s="51" t="str">
        <f t="shared" si="30"/>
        <v/>
      </c>
      <c r="I44" s="51" t="str">
        <f t="shared" si="30"/>
        <v/>
      </c>
      <c r="J44" s="51" t="str">
        <f t="shared" si="30"/>
        <v/>
      </c>
      <c r="K44" s="51" t="str">
        <f t="shared" si="30"/>
        <v/>
      </c>
      <c r="L44" s="51" t="str">
        <f t="shared" si="30"/>
        <v/>
      </c>
      <c r="M44" s="52" t="str">
        <f t="shared" si="30"/>
        <v/>
      </c>
      <c r="R44">
        <f>R11^2</f>
        <v>0.21280125808125397</v>
      </c>
    </row>
    <row r="45" spans="1:27" ht="14.65" thickBot="1" x14ac:dyDescent="0.5">
      <c r="A45" s="59"/>
      <c r="B45" s="28" t="s">
        <v>16</v>
      </c>
      <c r="C45" s="33"/>
      <c r="D45" s="53" t="str">
        <f>IF(D38&lt;&gt;"","["&amp;ROUND(D42-D44,0)&amp;","&amp;ROUND(D42+D44,0)&amp;"]","")</f>
        <v>[85215,101230]</v>
      </c>
      <c r="E45" s="53" t="str">
        <f t="shared" ref="E45:M45" si="31">IF(E38&lt;&gt;"","["&amp;ROUND(E42-E44,0)&amp;","&amp;ROUND(E42+E44,0)&amp;"]","")</f>
        <v>[-1497,13857]</v>
      </c>
      <c r="F45" s="53" t="str">
        <f t="shared" si="31"/>
        <v>[-58,653]</v>
      </c>
      <c r="G45" s="53" t="str">
        <f t="shared" si="31"/>
        <v/>
      </c>
      <c r="H45" s="53" t="str">
        <f t="shared" si="31"/>
        <v/>
      </c>
      <c r="I45" s="53" t="str">
        <f t="shared" si="31"/>
        <v/>
      </c>
      <c r="J45" s="53" t="str">
        <f t="shared" si="31"/>
        <v/>
      </c>
      <c r="K45" s="53" t="str">
        <f t="shared" si="31"/>
        <v/>
      </c>
      <c r="L45" s="53" t="str">
        <f t="shared" si="31"/>
        <v/>
      </c>
      <c r="M45" s="54" t="str">
        <f t="shared" si="31"/>
        <v/>
      </c>
      <c r="R45">
        <f>R12^2</f>
        <v>0.13619280517200227</v>
      </c>
    </row>
    <row r="46" spans="1:27" ht="14.65" thickBot="1" x14ac:dyDescent="0.5">
      <c r="R46">
        <f>R13^2</f>
        <v>0.2286720696242473</v>
      </c>
    </row>
    <row r="47" spans="1:27" x14ac:dyDescent="0.45">
      <c r="A47" s="13"/>
      <c r="B47" s="19" t="s">
        <v>18</v>
      </c>
      <c r="C47" s="19"/>
      <c r="D47" s="14" t="s">
        <v>4</v>
      </c>
      <c r="E47" s="14" t="s">
        <v>5</v>
      </c>
      <c r="F47" s="14" t="s">
        <v>6</v>
      </c>
      <c r="G47" s="14" t="s">
        <v>7</v>
      </c>
      <c r="H47" s="14" t="s">
        <v>8</v>
      </c>
      <c r="I47" s="14" t="s">
        <v>9</v>
      </c>
      <c r="J47" s="14" t="s">
        <v>10</v>
      </c>
      <c r="K47" s="14" t="s">
        <v>11</v>
      </c>
      <c r="L47" s="14" t="s">
        <v>12</v>
      </c>
      <c r="M47" s="15" t="s">
        <v>13</v>
      </c>
      <c r="R47">
        <f>R14^2</f>
        <v>7.8724330315875664</v>
      </c>
    </row>
    <row r="48" spans="1:27" x14ac:dyDescent="0.45">
      <c r="A48" s="16"/>
      <c r="B48" s="18" t="s">
        <v>23</v>
      </c>
      <c r="C48" s="11">
        <v>0.1</v>
      </c>
      <c r="D48" s="18">
        <f t="shared" ref="D48:M48" si="32">IF(D38&lt;&gt;"",ROUNDUP(1/($C$33/$C$34)^2*(1.96*SQRT(R33)/$C$48)^2,0),"")</f>
        <v>10</v>
      </c>
      <c r="E48" s="18">
        <f t="shared" si="32"/>
        <v>9</v>
      </c>
      <c r="F48" s="18">
        <f t="shared" si="32"/>
        <v>1</v>
      </c>
      <c r="G48" s="18" t="str">
        <f t="shared" si="32"/>
        <v/>
      </c>
      <c r="H48" s="18" t="str">
        <f t="shared" si="32"/>
        <v/>
      </c>
      <c r="I48" s="18" t="str">
        <f t="shared" si="32"/>
        <v/>
      </c>
      <c r="J48" s="18" t="str">
        <f t="shared" si="32"/>
        <v/>
      </c>
      <c r="K48" s="18" t="str">
        <f t="shared" si="32"/>
        <v/>
      </c>
      <c r="L48" s="18" t="str">
        <f t="shared" si="32"/>
        <v/>
      </c>
      <c r="M48" s="20" t="str">
        <f t="shared" si="32"/>
        <v/>
      </c>
      <c r="R48">
        <f>R15^2</f>
        <v>0.18110902548762106</v>
      </c>
    </row>
    <row r="49" spans="1:20" ht="14.65" thickBot="1" x14ac:dyDescent="0.5">
      <c r="A49" s="17"/>
      <c r="B49" s="21" t="s">
        <v>24</v>
      </c>
      <c r="C49" s="55">
        <v>1000</v>
      </c>
      <c r="D49" s="21">
        <f t="shared" ref="D49:M49" si="33">IF(D38&lt;&gt;"",ROUNDUP(($O$2/($C$33/$C$34))^2*(1.96*SQRT(R33)/$C$49)^2,0),"")</f>
        <v>898</v>
      </c>
      <c r="E49" s="21">
        <f t="shared" si="33"/>
        <v>826</v>
      </c>
      <c r="F49" s="21">
        <f t="shared" si="33"/>
        <v>2</v>
      </c>
      <c r="G49" s="21" t="str">
        <f t="shared" si="33"/>
        <v/>
      </c>
      <c r="H49" s="21" t="str">
        <f t="shared" si="33"/>
        <v/>
      </c>
      <c r="I49" s="21" t="str">
        <f t="shared" si="33"/>
        <v/>
      </c>
      <c r="J49" s="21" t="str">
        <f t="shared" si="33"/>
        <v/>
      </c>
      <c r="K49" s="21" t="str">
        <f t="shared" si="33"/>
        <v/>
      </c>
      <c r="L49" s="21" t="str">
        <f t="shared" si="33"/>
        <v/>
      </c>
      <c r="M49" s="22" t="str">
        <f t="shared" si="33"/>
        <v/>
      </c>
      <c r="R49">
        <f>R16^2</f>
        <v>5.8264966270870121E-3</v>
      </c>
      <c r="S49" s="66" t="s">
        <v>37</v>
      </c>
    </row>
    <row r="51" spans="1:20" x14ac:dyDescent="0.45">
      <c r="R51" t="s">
        <v>34</v>
      </c>
      <c r="S51">
        <f>SUM(R36:R49)/13</f>
        <v>0.98236587477737358</v>
      </c>
      <c r="T51" s="66" t="s">
        <v>36</v>
      </c>
    </row>
    <row r="54" spans="1:20" x14ac:dyDescent="0.45">
      <c r="R54" t="s">
        <v>33</v>
      </c>
      <c r="S54" s="65" t="b">
        <f>S51=R33</f>
        <v>1</v>
      </c>
      <c r="T54" s="66" t="s">
        <v>38</v>
      </c>
    </row>
  </sheetData>
  <mergeCells count="4">
    <mergeCell ref="A37:A40"/>
    <mergeCell ref="A42:A45"/>
    <mergeCell ref="Q1:AA1"/>
    <mergeCell ref="B1:M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 McGuinness</dc:creator>
  <cp:lastModifiedBy>Nuno Prista</cp:lastModifiedBy>
  <dcterms:created xsi:type="dcterms:W3CDTF">2015-06-05T18:17:20Z</dcterms:created>
  <dcterms:modified xsi:type="dcterms:W3CDTF">2025-11-09T10:04:06Z</dcterms:modified>
</cp:coreProperties>
</file>